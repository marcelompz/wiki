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onograma" sheetId="1" state="visible" r:id="rId3"/>
    <sheet name="Presupues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<sst xmlns="http://schemas.openxmlformats.org/spreadsheetml/2006/main" count="170" uniqueCount="71">
  <si>
    <t xml:space="preserve">Fase</t>
  </si>
  <si>
    <t xml:space="preserve">Semana</t>
  </si>
  <si>
    <t xml:space="preserve">Tarea</t>
  </si>
  <si>
    <t xml:space="preserve">Rol</t>
  </si>
  <si>
    <t xml:space="preserve">Horas Estimadas</t>
  </si>
  <si>
    <t xml:space="preserve">Fase 0 – Descubrimiento y Arquitectura</t>
  </si>
  <si>
    <t xml:space="preserve">Semana 1</t>
  </si>
  <si>
    <t xml:space="preserve">Relevamiento de requerimientos con el cliente</t>
  </si>
  <si>
    <t xml:space="preserve">Tech Lead</t>
  </si>
  <si>
    <t xml:space="preserve">PM</t>
  </si>
  <si>
    <t xml:space="preserve">Documento de arquitectura (schema preparado para tenantId / multi-empresa)</t>
  </si>
  <si>
    <t xml:space="preserve">Setup de repositorio, CI básico y entorno de desarrollo</t>
  </si>
  <si>
    <t xml:space="preserve">DevOps</t>
  </si>
  <si>
    <t xml:space="preserve">Definición del contrato de integración con el ERP del cliente</t>
  </si>
  <si>
    <t xml:space="preserve">Fase 1 – Backend Core (Auth y Modelo de Datos)</t>
  </si>
  <si>
    <t xml:space="preserve">Semana 2-3</t>
  </si>
  <si>
    <t xml:space="preserve">Diseño de schema Prisma (Vendedor, Cliente, Pedido, Producto, Política Comercial)</t>
  </si>
  <si>
    <t xml:space="preserve">Backend Dev</t>
  </si>
  <si>
    <t xml:space="preserve">Autenticación JWT y middleware de auth</t>
  </si>
  <si>
    <t xml:space="preserve">CRUD de Clientes y Políticas Comerciales</t>
  </si>
  <si>
    <t xml:space="preserve">CRUD de Productos y variantes</t>
  </si>
  <si>
    <t xml:space="preserve">Code review y ajustes de arquitectura</t>
  </si>
  <si>
    <t xml:space="preserve">Definición del plan de pruebas</t>
  </si>
  <si>
    <t xml:space="preserve">QA</t>
  </si>
  <si>
    <t xml:space="preserve">Fase 2 – Motor de Pedidos y Políticas Comerciales</t>
  </si>
  <si>
    <t xml:space="preserve">Semana 4-5</t>
  </si>
  <si>
    <t xml:space="preserve">Motor de cálculo de precios (descuento/recargo por política)</t>
  </si>
  <si>
    <t xml:space="preserve">Endpoints de creación y gestión de pedidos</t>
  </si>
  <si>
    <t xml:space="preserve">Flujo de aprobación / rechazo de pedidos</t>
  </si>
  <si>
    <t xml:space="preserve">Code review</t>
  </si>
  <si>
    <t xml:space="preserve">Pruebas unitarias del motor de cálculo</t>
  </si>
  <si>
    <t xml:space="preserve">Fase 3 – Integración ERP</t>
  </si>
  <si>
    <t xml:space="preserve">Semana 5-6</t>
  </si>
  <si>
    <t xml:space="preserve">Diseño del adaptador erpClient (consulta de stock, reserva, facturación)</t>
  </si>
  <si>
    <t xml:space="preserve">Mapeo de campos específico del ERP del cliente</t>
  </si>
  <si>
    <t xml:space="preserve">Ajuste del contrato de integración con el ERP</t>
  </si>
  <si>
    <t xml:space="preserve">Pruebas de integración con el ERP</t>
  </si>
  <si>
    <t xml:space="preserve">Fase 4 – Frontend</t>
  </si>
  <si>
    <t xml:space="preserve">Semana 6-7</t>
  </si>
  <si>
    <t xml:space="preserve">Dashboard (KPIs, listado de clientes)</t>
  </si>
  <si>
    <t xml:space="preserve">Frontend Dev</t>
  </si>
  <si>
    <t xml:space="preserve">Flujo de pedido en 3 etapas (cliente, productos, resumen)</t>
  </si>
  <si>
    <t xml:space="preserve">Pantalla de gestión de pedidos con filtros por estado</t>
  </si>
  <si>
    <t xml:space="preserve">Pruebas de interfaz</t>
  </si>
  <si>
    <t xml:space="preserve">Fase 5 – Notificaciones en Tiempo Real y Ajustes</t>
  </si>
  <si>
    <t xml:space="preserve">Semana 8</t>
  </si>
  <si>
    <t xml:space="preserve">Implementación de SSE para notificaciones</t>
  </si>
  <si>
    <t xml:space="preserve">Integración de notificaciones en frontend (panel/campana)</t>
  </si>
  <si>
    <t xml:space="preserve">Ajustes de UX según feedback del cliente</t>
  </si>
  <si>
    <t xml:space="preserve">Pruebas de notificaciones</t>
  </si>
  <si>
    <t xml:space="preserve">Fase 6 – QA Integral y Corrección de Bugs</t>
  </si>
  <si>
    <t xml:space="preserve">Semana 9</t>
  </si>
  <si>
    <t xml:space="preserve">Testing E2E de todo el flujo</t>
  </si>
  <si>
    <t xml:space="preserve">Corrección de bugs backend</t>
  </si>
  <si>
    <t xml:space="preserve">Corrección de bugs frontend</t>
  </si>
  <si>
    <t xml:space="preserve">Fase 7 – Deploy en Servidor del Cliente y Capacitación</t>
  </si>
  <si>
    <t xml:space="preserve">Semana 10</t>
  </si>
  <si>
    <t xml:space="preserve">Preparación del entorno de producción (Docker, variables de entorno)</t>
  </si>
  <si>
    <t xml:space="preserve">Migración de base de datos y configuración inicial</t>
  </si>
  <si>
    <t xml:space="preserve">Documentación técnica y manual de usuario</t>
  </si>
  <si>
    <t xml:space="preserve">Capacitación al equipo del cliente</t>
  </si>
  <si>
    <t xml:space="preserve">TOTAL</t>
  </si>
  <si>
    <t xml:space="preserve">Presupuesto — Sistema de Fuerza de Ventas B2B</t>
  </si>
  <si>
    <t xml:space="preserve">Instrucciones: completar la columna 'Tarifa / Hora' (celdas amarillas) y el % de contingencia. El resto se calcula solo.</t>
  </si>
  <si>
    <t xml:space="preserve">Horas Totales</t>
  </si>
  <si>
    <t xml:space="preserve">Tarifa / Hora (USD)</t>
  </si>
  <si>
    <t xml:space="preserve">Subtotal (USD)</t>
  </si>
  <si>
    <t xml:space="preserve">Subtotal Horas + Honorarios</t>
  </si>
  <si>
    <t xml:space="preserve">% Contingencia / Imprevistos</t>
  </si>
  <si>
    <t xml:space="preserve">TOTAL PRESUPUESTO ESTIMADO</t>
  </si>
  <si>
    <t xml:space="preserve">Nota: horas estimadas para un desarrollo standalone (servidor propio del cliente), con schema de datos preparado para soportar tenantId / múltiples empresas a futuro sin reescritura mayor. Tarifas de ejemplo en celdas amarillas — reemplazar por costo real por puesto.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</si>
</sst>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5B21B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21B6"/>
        <bgColor rgb="FF800080"/>
      </patternFill>
    </fill>
    <fill>
      <patternFill patternType="solid">
        <fgColor rgb="FFD9D9D9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DE9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DE9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21B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72.7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4" t="s">
        <v>7</v>
      </c>
      <c r="D2" s="3" t="s">
        <v>8</v>
      </c>
      <c r="E2" s="5" t="n">
        <v>8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s">
        <v>7</v>
      </c>
      <c r="D3" s="3" t="s">
        <v>9</v>
      </c>
      <c r="E3" s="5" t="n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4" t="s">
        <v>10</v>
      </c>
      <c r="D4" s="3" t="s">
        <v>8</v>
      </c>
      <c r="E4" s="5" t="n">
        <v>10</v>
      </c>
    </row>
    <row r="5" customFormat="false" ht="15" hidden="false" customHeight="false" outlineLevel="0" collapsed="false">
      <c r="A5" s="3" t="s">
        <v>5</v>
      </c>
      <c r="B5" s="3" t="s">
        <v>6</v>
      </c>
      <c r="C5" s="4" t="s">
        <v>11</v>
      </c>
      <c r="D5" s="3" t="s">
        <v>12</v>
      </c>
      <c r="E5" s="5" t="n">
        <v>6</v>
      </c>
    </row>
    <row r="6" customFormat="false" ht="15" hidden="false" customHeight="false" outlineLevel="0" collapsed="false">
      <c r="A6" s="3" t="s">
        <v>5</v>
      </c>
      <c r="B6" s="3" t="s">
        <v>6</v>
      </c>
      <c r="C6" s="4" t="s">
        <v>13</v>
      </c>
      <c r="D6" s="3" t="s">
        <v>8</v>
      </c>
      <c r="E6" s="5" t="n">
        <v>6</v>
      </c>
    </row>
    <row r="7" customFormat="false" ht="15" hidden="false" customHeight="false" outlineLevel="0" collapsed="false">
      <c r="A7" s="3" t="s">
        <v>5</v>
      </c>
      <c r="B7" s="3" t="s">
        <v>6</v>
      </c>
      <c r="C7" s="4" t="s">
        <v>13</v>
      </c>
      <c r="D7" s="3" t="s">
        <v>9</v>
      </c>
      <c r="E7" s="5" t="n">
        <v>2</v>
      </c>
    </row>
    <row r="8" customFormat="false" ht="15" hidden="false" customHeight="false" outlineLevel="0" collapsed="false">
      <c r="A8" s="3" t="s">
        <v>14</v>
      </c>
      <c r="B8" s="3" t="s">
        <v>15</v>
      </c>
      <c r="C8" s="4" t="s">
        <v>16</v>
      </c>
      <c r="D8" s="3" t="s">
        <v>17</v>
      </c>
      <c r="E8" s="5" t="n">
        <v>16</v>
      </c>
    </row>
    <row r="9" customFormat="false" ht="15" hidden="false" customHeight="false" outlineLevel="0" collapsed="false">
      <c r="A9" s="3" t="s">
        <v>14</v>
      </c>
      <c r="B9" s="3" t="s">
        <v>15</v>
      </c>
      <c r="C9" s="4" t="s">
        <v>18</v>
      </c>
      <c r="D9" s="3" t="s">
        <v>17</v>
      </c>
      <c r="E9" s="5" t="n">
        <v>12</v>
      </c>
    </row>
    <row r="10" customFormat="false" ht="15" hidden="false" customHeight="false" outlineLevel="0" collapsed="false">
      <c r="A10" s="3" t="s">
        <v>14</v>
      </c>
      <c r="B10" s="3" t="s">
        <v>15</v>
      </c>
      <c r="C10" s="4" t="s">
        <v>19</v>
      </c>
      <c r="D10" s="3" t="s">
        <v>17</v>
      </c>
      <c r="E10" s="5" t="n">
        <v>14</v>
      </c>
    </row>
    <row r="11" customFormat="false" ht="15" hidden="false" customHeight="false" outlineLevel="0" collapsed="false">
      <c r="A11" s="3" t="s">
        <v>14</v>
      </c>
      <c r="B11" s="3" t="s">
        <v>15</v>
      </c>
      <c r="C11" s="4" t="s">
        <v>20</v>
      </c>
      <c r="D11" s="3" t="s">
        <v>17</v>
      </c>
      <c r="E11" s="5" t="n">
        <v>18</v>
      </c>
    </row>
    <row r="12" customFormat="false" ht="15" hidden="false" customHeight="false" outlineLevel="0" collapsed="false">
      <c r="A12" s="3" t="s">
        <v>14</v>
      </c>
      <c r="B12" s="3" t="s">
        <v>15</v>
      </c>
      <c r="C12" s="4" t="s">
        <v>21</v>
      </c>
      <c r="D12" s="3" t="s">
        <v>8</v>
      </c>
      <c r="E12" s="5" t="n">
        <v>10</v>
      </c>
    </row>
    <row r="13" customFormat="false" ht="15" hidden="false" customHeight="false" outlineLevel="0" collapsed="false">
      <c r="A13" s="3" t="s">
        <v>14</v>
      </c>
      <c r="B13" s="3" t="s">
        <v>15</v>
      </c>
      <c r="C13" s="4" t="s">
        <v>22</v>
      </c>
      <c r="D13" s="3" t="s">
        <v>23</v>
      </c>
      <c r="E13" s="5" t="n">
        <v>8</v>
      </c>
    </row>
    <row r="14" customFormat="false" ht="15" hidden="false" customHeight="false" outlineLevel="0" collapsed="false">
      <c r="A14" s="3" t="s">
        <v>24</v>
      </c>
      <c r="B14" s="3" t="s">
        <v>25</v>
      </c>
      <c r="C14" s="4" t="s">
        <v>26</v>
      </c>
      <c r="D14" s="3" t="s">
        <v>17</v>
      </c>
      <c r="E14" s="5" t="n">
        <v>20</v>
      </c>
    </row>
    <row r="15" customFormat="false" ht="15" hidden="false" customHeight="false" outlineLevel="0" collapsed="false">
      <c r="A15" s="3" t="s">
        <v>24</v>
      </c>
      <c r="B15" s="3" t="s">
        <v>25</v>
      </c>
      <c r="C15" s="4" t="s">
        <v>27</v>
      </c>
      <c r="D15" s="3" t="s">
        <v>17</v>
      </c>
      <c r="E15" s="5" t="n">
        <v>16</v>
      </c>
    </row>
    <row r="16" customFormat="false" ht="15" hidden="false" customHeight="false" outlineLevel="0" collapsed="false">
      <c r="A16" s="3" t="s">
        <v>24</v>
      </c>
      <c r="B16" s="3" t="s">
        <v>25</v>
      </c>
      <c r="C16" s="4" t="s">
        <v>28</v>
      </c>
      <c r="D16" s="3" t="s">
        <v>17</v>
      </c>
      <c r="E16" s="5" t="n">
        <v>14</v>
      </c>
    </row>
    <row r="17" customFormat="false" ht="15" hidden="false" customHeight="false" outlineLevel="0" collapsed="false">
      <c r="A17" s="3" t="s">
        <v>24</v>
      </c>
      <c r="B17" s="3" t="s">
        <v>25</v>
      </c>
      <c r="C17" s="4" t="s">
        <v>29</v>
      </c>
      <c r="D17" s="3" t="s">
        <v>8</v>
      </c>
      <c r="E17" s="5" t="n">
        <v>8</v>
      </c>
    </row>
    <row r="18" customFormat="false" ht="15" hidden="false" customHeight="false" outlineLevel="0" collapsed="false">
      <c r="A18" s="3" t="s">
        <v>24</v>
      </c>
      <c r="B18" s="3" t="s">
        <v>25</v>
      </c>
      <c r="C18" s="4" t="s">
        <v>30</v>
      </c>
      <c r="D18" s="3" t="s">
        <v>23</v>
      </c>
      <c r="E18" s="5" t="n">
        <v>12</v>
      </c>
    </row>
    <row r="19" customFormat="false" ht="15" hidden="false" customHeight="false" outlineLevel="0" collapsed="false">
      <c r="A19" s="3" t="s">
        <v>31</v>
      </c>
      <c r="B19" s="3" t="s">
        <v>32</v>
      </c>
      <c r="C19" s="4" t="s">
        <v>33</v>
      </c>
      <c r="D19" s="3" t="s">
        <v>17</v>
      </c>
      <c r="E19" s="5" t="n">
        <v>20</v>
      </c>
    </row>
    <row r="20" customFormat="false" ht="15" hidden="false" customHeight="false" outlineLevel="0" collapsed="false">
      <c r="A20" s="3" t="s">
        <v>31</v>
      </c>
      <c r="B20" s="3" t="s">
        <v>32</v>
      </c>
      <c r="C20" s="4" t="s">
        <v>34</v>
      </c>
      <c r="D20" s="3" t="s">
        <v>17</v>
      </c>
      <c r="E20" s="5" t="n">
        <v>15</v>
      </c>
    </row>
    <row r="21" customFormat="false" ht="15" hidden="false" customHeight="false" outlineLevel="0" collapsed="false">
      <c r="A21" s="3" t="s">
        <v>31</v>
      </c>
      <c r="B21" s="3" t="s">
        <v>32</v>
      </c>
      <c r="C21" s="4" t="s">
        <v>35</v>
      </c>
      <c r="D21" s="3" t="s">
        <v>8</v>
      </c>
      <c r="E21" s="5" t="n">
        <v>10</v>
      </c>
    </row>
    <row r="22" customFormat="false" ht="15" hidden="false" customHeight="false" outlineLevel="0" collapsed="false">
      <c r="A22" s="3" t="s">
        <v>31</v>
      </c>
      <c r="B22" s="3" t="s">
        <v>32</v>
      </c>
      <c r="C22" s="4" t="s">
        <v>36</v>
      </c>
      <c r="D22" s="3" t="s">
        <v>23</v>
      </c>
      <c r="E22" s="5" t="n">
        <v>10</v>
      </c>
    </row>
    <row r="23" customFormat="false" ht="15" hidden="false" customHeight="false" outlineLevel="0" collapsed="false">
      <c r="A23" s="3" t="s">
        <v>37</v>
      </c>
      <c r="B23" s="3" t="s">
        <v>38</v>
      </c>
      <c r="C23" s="4" t="s">
        <v>39</v>
      </c>
      <c r="D23" s="3" t="s">
        <v>40</v>
      </c>
      <c r="E23" s="5" t="n">
        <v>15</v>
      </c>
    </row>
    <row r="24" customFormat="false" ht="15" hidden="false" customHeight="false" outlineLevel="0" collapsed="false">
      <c r="A24" s="3" t="s">
        <v>37</v>
      </c>
      <c r="B24" s="3" t="s">
        <v>38</v>
      </c>
      <c r="C24" s="4" t="s">
        <v>41</v>
      </c>
      <c r="D24" s="3" t="s">
        <v>40</v>
      </c>
      <c r="E24" s="5" t="n">
        <v>25</v>
      </c>
    </row>
    <row r="25" customFormat="false" ht="15" hidden="false" customHeight="false" outlineLevel="0" collapsed="false">
      <c r="A25" s="3" t="s">
        <v>37</v>
      </c>
      <c r="B25" s="3" t="s">
        <v>38</v>
      </c>
      <c r="C25" s="4" t="s">
        <v>42</v>
      </c>
      <c r="D25" s="3" t="s">
        <v>40</v>
      </c>
      <c r="E25" s="5" t="n">
        <v>15</v>
      </c>
    </row>
    <row r="26" customFormat="false" ht="15" hidden="false" customHeight="false" outlineLevel="0" collapsed="false">
      <c r="A26" s="3" t="s">
        <v>37</v>
      </c>
      <c r="B26" s="3" t="s">
        <v>38</v>
      </c>
      <c r="C26" s="4" t="s">
        <v>43</v>
      </c>
      <c r="D26" s="3" t="s">
        <v>23</v>
      </c>
      <c r="E26" s="5" t="n">
        <v>10</v>
      </c>
    </row>
    <row r="27" customFormat="false" ht="15" hidden="false" customHeight="false" outlineLevel="0" collapsed="false">
      <c r="A27" s="3" t="s">
        <v>44</v>
      </c>
      <c r="B27" s="3" t="s">
        <v>45</v>
      </c>
      <c r="C27" s="4" t="s">
        <v>46</v>
      </c>
      <c r="D27" s="3" t="s">
        <v>17</v>
      </c>
      <c r="E27" s="5" t="n">
        <v>15</v>
      </c>
    </row>
    <row r="28" customFormat="false" ht="15" hidden="false" customHeight="false" outlineLevel="0" collapsed="false">
      <c r="A28" s="3" t="s">
        <v>44</v>
      </c>
      <c r="B28" s="3" t="s">
        <v>45</v>
      </c>
      <c r="C28" s="4" t="s">
        <v>47</v>
      </c>
      <c r="D28" s="3" t="s">
        <v>40</v>
      </c>
      <c r="E28" s="5" t="n">
        <v>15</v>
      </c>
    </row>
    <row r="29" customFormat="false" ht="15" hidden="false" customHeight="false" outlineLevel="0" collapsed="false">
      <c r="A29" s="3" t="s">
        <v>44</v>
      </c>
      <c r="B29" s="3" t="s">
        <v>45</v>
      </c>
      <c r="C29" s="4" t="s">
        <v>48</v>
      </c>
      <c r="D29" s="3" t="s">
        <v>40</v>
      </c>
      <c r="E29" s="5" t="n">
        <v>8</v>
      </c>
    </row>
    <row r="30" customFormat="false" ht="15" hidden="false" customHeight="false" outlineLevel="0" collapsed="false">
      <c r="A30" s="3" t="s">
        <v>44</v>
      </c>
      <c r="B30" s="3" t="s">
        <v>45</v>
      </c>
      <c r="C30" s="4" t="s">
        <v>49</v>
      </c>
      <c r="D30" s="3" t="s">
        <v>23</v>
      </c>
      <c r="E30" s="5" t="n">
        <v>8</v>
      </c>
    </row>
    <row r="31" customFormat="false" ht="15" hidden="false" customHeight="false" outlineLevel="0" collapsed="false">
      <c r="A31" s="3" t="s">
        <v>50</v>
      </c>
      <c r="B31" s="3" t="s">
        <v>51</v>
      </c>
      <c r="C31" s="4" t="s">
        <v>52</v>
      </c>
      <c r="D31" s="3" t="s">
        <v>23</v>
      </c>
      <c r="E31" s="5" t="n">
        <v>30</v>
      </c>
    </row>
    <row r="32" customFormat="false" ht="15" hidden="false" customHeight="false" outlineLevel="0" collapsed="false">
      <c r="A32" s="3" t="s">
        <v>50</v>
      </c>
      <c r="B32" s="3" t="s">
        <v>51</v>
      </c>
      <c r="C32" s="4" t="s">
        <v>53</v>
      </c>
      <c r="D32" s="3" t="s">
        <v>17</v>
      </c>
      <c r="E32" s="5" t="n">
        <v>10</v>
      </c>
    </row>
    <row r="33" customFormat="false" ht="15" hidden="false" customHeight="false" outlineLevel="0" collapsed="false">
      <c r="A33" s="3" t="s">
        <v>50</v>
      </c>
      <c r="B33" s="3" t="s">
        <v>51</v>
      </c>
      <c r="C33" s="4" t="s">
        <v>54</v>
      </c>
      <c r="D33" s="3" t="s">
        <v>40</v>
      </c>
      <c r="E33" s="5" t="n">
        <v>10</v>
      </c>
    </row>
    <row r="34" customFormat="false" ht="15" hidden="false" customHeight="false" outlineLevel="0" collapsed="false">
      <c r="A34" s="3" t="s">
        <v>55</v>
      </c>
      <c r="B34" s="3" t="s">
        <v>56</v>
      </c>
      <c r="C34" s="4" t="s">
        <v>57</v>
      </c>
      <c r="D34" s="3" t="s">
        <v>12</v>
      </c>
      <c r="E34" s="5" t="n">
        <v>14</v>
      </c>
    </row>
    <row r="35" customFormat="false" ht="15" hidden="false" customHeight="false" outlineLevel="0" collapsed="false">
      <c r="A35" s="3" t="s">
        <v>55</v>
      </c>
      <c r="B35" s="3" t="s">
        <v>56</v>
      </c>
      <c r="C35" s="4" t="s">
        <v>58</v>
      </c>
      <c r="D35" s="3" t="s">
        <v>12</v>
      </c>
      <c r="E35" s="5" t="n">
        <v>6</v>
      </c>
    </row>
    <row r="36" customFormat="false" ht="15" hidden="false" customHeight="false" outlineLevel="0" collapsed="false">
      <c r="A36" s="3" t="s">
        <v>55</v>
      </c>
      <c r="B36" s="3" t="s">
        <v>56</v>
      </c>
      <c r="C36" s="4" t="s">
        <v>59</v>
      </c>
      <c r="D36" s="3" t="s">
        <v>8</v>
      </c>
      <c r="E36" s="5" t="n">
        <v>8</v>
      </c>
    </row>
    <row r="37" customFormat="false" ht="15" hidden="false" customHeight="false" outlineLevel="0" collapsed="false">
      <c r="A37" s="3" t="s">
        <v>55</v>
      </c>
      <c r="B37" s="3" t="s">
        <v>56</v>
      </c>
      <c r="C37" s="4" t="s">
        <v>60</v>
      </c>
      <c r="D37" s="3" t="s">
        <v>8</v>
      </c>
      <c r="E37" s="5" t="n">
        <v>4</v>
      </c>
    </row>
    <row r="38" customFormat="false" ht="15" hidden="false" customHeight="false" outlineLevel="0" collapsed="false">
      <c r="A38" s="3" t="s">
        <v>55</v>
      </c>
      <c r="B38" s="3" t="s">
        <v>56</v>
      </c>
      <c r="C38" s="4" t="s">
        <v>60</v>
      </c>
      <c r="D38" s="3" t="s">
        <v>9</v>
      </c>
      <c r="E38" s="5" t="n">
        <v>4</v>
      </c>
    </row>
    <row r="39" customFormat="false" ht="15" hidden="false" customHeight="false" outlineLevel="0" collapsed="false">
      <c r="A39" s="6"/>
      <c r="B39" s="6"/>
      <c r="C39" s="7" t="s">
        <v>61</v>
      </c>
      <c r="D39" s="6"/>
      <c r="E39" s="8" t="n">
        <f aca="false">SUM(E2:E38)</f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8"/>
  </cols>
  <sheetData>
    <row r="1" customFormat="false" ht="17.35" hidden="false" customHeight="false" outlineLevel="0" collapsed="false">
      <c r="A1" s="9" t="s">
        <v>62</v>
      </c>
      <c r="B1" s="9"/>
      <c r="C1" s="9"/>
      <c r="D1" s="9"/>
    </row>
    <row r="3" customFormat="false" ht="15" hidden="false" customHeight="false" outlineLevel="0" collapsed="false">
      <c r="A3" s="10" t="s">
        <v>63</v>
      </c>
      <c r="B3" s="10"/>
      <c r="C3" s="10"/>
      <c r="D3" s="10"/>
      <c r="E3" s="10"/>
    </row>
    <row r="5" customFormat="false" ht="15" hidden="false" customHeight="false" outlineLevel="0" collapsed="false">
      <c r="A5" s="2" t="s">
        <v>3</v>
      </c>
      <c r="B5" s="2" t="s">
        <v>64</v>
      </c>
      <c r="C5" s="2" t="s">
        <v>65</v>
      </c>
      <c r="D5" s="2" t="s">
        <v>66</v>
      </c>
    </row>
    <row r="6" customFormat="false" ht="15" hidden="false" customHeight="false" outlineLevel="0" collapsed="false">
      <c r="A6" s="3" t="s">
        <v>8</v>
      </c>
      <c r="B6" s="5" t="n">
        <f aca="false">SUMIF(Cronograma!D:D,A6,Cronograma!E:E)</f>
        <v>64</v>
      </c>
      <c r="C6" s="11" t="n">
        <v>25</v>
      </c>
      <c r="D6" s="12" t="n">
        <f aca="false">B6*C6</f>
        <v>1600</v>
      </c>
    </row>
    <row r="7" customFormat="false" ht="15" hidden="false" customHeight="false" outlineLevel="0" collapsed="false">
      <c r="A7" s="3" t="s">
        <v>9</v>
      </c>
      <c r="B7" s="5" t="n">
        <f aca="false">SUMIF(Cronograma!D:D,A7,Cronograma!E:E)</f>
        <v>10</v>
      </c>
      <c r="C7" s="11" t="n">
        <v>15</v>
      </c>
      <c r="D7" s="12" t="n">
        <f aca="false">B7*C7</f>
        <v>150</v>
      </c>
    </row>
    <row r="8" customFormat="false" ht="15" hidden="false" customHeight="false" outlineLevel="0" collapsed="false">
      <c r="A8" s="3" t="s">
        <v>12</v>
      </c>
      <c r="B8" s="5" t="n">
        <f aca="false">SUMIF(Cronograma!D:D,A8,Cronograma!E:E)</f>
        <v>26</v>
      </c>
      <c r="C8" s="11" t="n">
        <v>20</v>
      </c>
      <c r="D8" s="12" t="n">
        <f aca="false">B8*C8</f>
        <v>520</v>
      </c>
    </row>
    <row r="9" customFormat="false" ht="15" hidden="false" customHeight="false" outlineLevel="0" collapsed="false">
      <c r="A9" s="3" t="s">
        <v>17</v>
      </c>
      <c r="B9" s="5" t="n">
        <f aca="false">SUMIF(Cronograma!D:D,A9,Cronograma!E:E)</f>
        <v>170</v>
      </c>
      <c r="C9" s="11" t="n">
        <v>20</v>
      </c>
      <c r="D9" s="12" t="n">
        <f aca="false">B9*C9</f>
        <v>3400</v>
      </c>
    </row>
    <row r="10" customFormat="false" ht="15" hidden="false" customHeight="false" outlineLevel="0" collapsed="false">
      <c r="A10" s="3" t="s">
        <v>40</v>
      </c>
      <c r="B10" s="5" t="n">
        <f aca="false">SUMIF(Cronograma!D:D,A10,Cronograma!E:E)</f>
        <v>88</v>
      </c>
      <c r="C10" s="11" t="n">
        <v>18</v>
      </c>
      <c r="D10" s="12" t="n">
        <f aca="false">B10*C10</f>
        <v>1584</v>
      </c>
    </row>
    <row r="11" customFormat="false" ht="15" hidden="false" customHeight="false" outlineLevel="0" collapsed="false">
      <c r="A11" s="3" t="s">
        <v>23</v>
      </c>
      <c r="B11" s="5" t="n">
        <f aca="false">SUMIF(Cronograma!D:D,A11,Cronograma!E:E)</f>
        <v>78</v>
      </c>
      <c r="C11" s="11" t="n">
        <v>15</v>
      </c>
      <c r="D11" s="12" t="n">
        <f aca="false">B11*C11</f>
        <v>1170</v>
      </c>
    </row>
    <row r="12" customFormat="false" ht="15" hidden="false" customHeight="false" outlineLevel="0" collapsed="false">
      <c r="A12" s="13" t="s">
        <v>67</v>
      </c>
      <c r="B12" s="6"/>
      <c r="C12" s="6"/>
      <c r="D12" s="14" t="n">
        <f aca="false">SUM(D6:D11)</f>
        <v>8424</v>
      </c>
    </row>
    <row r="14" customFormat="false" ht="15" hidden="false" customHeight="false" outlineLevel="0" collapsed="false">
      <c r="A14" s="3" t="s">
        <v>68</v>
      </c>
      <c r="B14" s="15"/>
      <c r="C14" s="16" t="n">
        <v>0.1</v>
      </c>
      <c r="D14" s="17" t="n">
        <f aca="false">D12*C14</f>
        <v>842.4</v>
      </c>
    </row>
    <row r="15" customFormat="false" ht="15" hidden="false" customHeight="false" outlineLevel="0" collapsed="false">
      <c r="A15" s="18" t="s">
        <v>69</v>
      </c>
      <c r="B15" s="19"/>
      <c r="C15" s="19"/>
      <c r="D15" s="20" t="n">
        <f aca="false">D12+D14</f>
        <v>9266.4</v>
      </c>
    </row>
    <row r="17" customFormat="false" ht="30" hidden="false" customHeight="true" outlineLevel="0" collapsed="false">
      <c r="A17" s="21" t="s">
        <v>70</v>
      </c>
      <c r="B17" s="21"/>
      <c r="C17" s="21"/>
      <c r="D17" s="21"/>
    </row>
  </sheetData>
  <mergeCells count="3">
    <mergeCell ref="A1:D1"/>
    <mergeCell ref="A3:E3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2026-08-21T13:33:08Z</dcterms:created>
  <dc:creator>openpyxl</dc:creator>
  <dc:description/>
  <dc:language>en-US</dc:language>
  <cp:lastModifiedBy/>
  <dcterms:modified xsi:type="dcterms:W3CDTF">2026-09-21T21:00:07Z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